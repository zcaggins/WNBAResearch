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pansion Process" sheetId="2" state="visible" r:id="rId4"/>
    <sheet name="NBA vs WNBA Comparison" sheetId="3" state="visible" r:id="rId5"/>
    <sheet name="Historical Expansion Teams" sheetId="4" state="visible" r:id="rId6"/>
    <sheet name="Secured 2026-2030 Teams" sheetId="5" state="visible" r:id="rId7"/>
    <sheet name="Candidate Cities" sheetId="6" state="visible" r:id="rId8"/>
    <sheet name="Chart Da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<sst xmlns="http://schemas.openxmlformats.org/spreadsheetml/2006/main" count="332" uniqueCount="285">
  <si>
    <t xml:space="preserve">WNBA Expansion Database</t>
  </si>
  <si>
    <t xml:space="preserve">Research reference: expansion process, historical teams, and candidate-city profiles</t>
  </si>
  <si>
    <t xml:space="preserve">Sheet</t>
  </si>
  <si>
    <t xml:space="preserve">Contents</t>
  </si>
  <si>
    <t xml:space="preserve">Expansion Process</t>
  </si>
  <si>
    <t xml:space="preserve">Step-by-step path a market follows to land a WNBA team, plus the same for the NBA</t>
  </si>
  <si>
    <t xml:space="preserve">NBA vs WNBA Comparison</t>
  </si>
  <si>
    <t xml:space="preserve">Side-by-side of fees, voting thresholds, draft rules, and timelines</t>
  </si>
  <si>
    <t xml:space="preserve">Historical Expansion Teams</t>
  </si>
  <si>
    <t xml:space="preserve">Every WNBA expansion/relocation team since 1997 with fee and outcome</t>
  </si>
  <si>
    <t xml:space="preserve">Secured 2026-2030 Teams</t>
  </si>
  <si>
    <t xml:space="preserve">The six new/relocated markets already awarded (Golden State through Philadelphia)</t>
  </si>
  <si>
    <t xml:space="preserve">Candidate Cities</t>
  </si>
  <si>
    <t xml:space="preserve">The 9 cities that bid in Jan. 2025 but were not chosen, ranked with demographic and venue data</t>
  </si>
  <si>
    <t xml:space="preserve">Chart Data</t>
  </si>
  <si>
    <t xml:space="preserve">Source table behind the population / arena capacity chart</t>
  </si>
  <si>
    <t xml:space="preserve">Note</t>
  </si>
  <si>
    <t xml:space="preserve">Population figures are metro-area estimates and arena capacities are basketball configurations; both are approximate and should be re-verified before use in any decision-making. Bid-status and fee details are sourced from WNBA/NBA announcements and sports-business reporting current as of mid-2026.</t>
  </si>
  <si>
    <t xml:space="preserve">How a City Gets a WNBA Expansion Team</t>
  </si>
  <si>
    <t xml:space="preserve">Step</t>
  </si>
  <si>
    <t xml:space="preserve">Stage</t>
  </si>
  <si>
    <t xml:space="preserve">What Happens</t>
  </si>
  <si>
    <t xml:space="preserve">Typical Timeframe</t>
  </si>
  <si>
    <t xml:space="preserve">League signals it's open to expansion</t>
  </si>
  <si>
    <t xml:space="preserve">WNBA leadership (Commissioner + Board of Governors, which includes NBA and WNBA team owners) states publicly that it will consider new markets, usually tied to a target team count (e.g., 16 by 2028, 18 by 2030).</t>
  </si>
  <si>
    <t xml:space="preserve">Announced years ahead of first tip-off</t>
  </si>
  <si>
    <t xml:space="preserve">Formal bid window opens</t>
  </si>
  <si>
    <t xml:space="preserve">League sets a submission deadline. Interested ownership groups (individuals, investor consortiums, or existing NBA owners) file applications covering financing, arena plans, and market data.</t>
  </si>
  <si>
    <t xml:space="preserve">Weeks to a few months</t>
  </si>
  <si>
    <t xml:space="preserve">League evaluates bids</t>
  </si>
  <si>
    <t xml:space="preserve">WNBA staff and the Board score submissions on: ownership group financial strength, arena readiness/capacity, practice-facility plans, local corporate &amp; media support, and track record of supporting women's sports.</t>
  </si>
  <si>
    <t xml:space="preserve">Several months</t>
  </si>
  <si>
    <t xml:space="preserve">Board of Governors votes</t>
  </si>
  <si>
    <t xml:space="preserve">NBA and WNBA owners jointly vote to approve specific cities and ownership groups. A cleared bid becomes an official franchise award with an expansion fee attached.</t>
  </si>
  <si>
    <t xml:space="preserve">One vote, often announced with 2-4 years' lead time before play begins</t>
  </si>
  <si>
    <t xml:space="preserve">Expansion fee paid</t>
  </si>
  <si>
    <t xml:space="preserve">New owners pay the league office a lump fee (paid over time in some cases). Fees have risen sharply: $50M (Golden State, 2025) -&gt; $115-125M (Toronto/Portland, 2026) -&gt; $250M (Cleveland/Detroit/Philadelphia, 2028-30).</t>
  </si>
  <si>
    <t xml:space="preserve">Paid on/after approval</t>
  </si>
  <si>
    <t xml:space="preserve">Front office stands up</t>
  </si>
  <si>
    <t xml:space="preserve">Team hires GM, head coach, business operations staff; secures practice facility and finalizes arena/lease deal.</t>
  </si>
  <si>
    <t xml:space="preserve">1-3 years before debut</t>
  </si>
  <si>
    <t xml:space="preserve">Expansion draft</t>
  </si>
  <si>
    <t xml:space="preserve">Existing teams each protect a set number of players (historically up to 6); new team(s) draft unprotected players to seed a roster. Two simultaneous expansion teams may draft in alternating rounds.</t>
  </si>
  <si>
    <t xml:space="preserve">Months before first season</t>
  </si>
  <si>
    <t xml:space="preserve">WNBA Draft allocation</t>
  </si>
  <si>
    <t xml:space="preserve">New team also participates in the next college draft, typically without the very top pick, to keep competitive balance.</t>
  </si>
  <si>
    <t xml:space="preserve">Spring before first season</t>
  </si>
  <si>
    <t xml:space="preserve">Inaugural season</t>
  </si>
  <si>
    <t xml:space="preserve">Team debuts; league monitors attendance, local ratings, and revenue to inform whether/where to expand again.</t>
  </si>
  <si>
    <t xml:space="preserve">Year 1</t>
  </si>
  <si>
    <t xml:space="preserve">NBA Expansion Process vs WNBA Expansion Process</t>
  </si>
  <si>
    <t xml:space="preserve">Dimension</t>
  </si>
  <si>
    <t xml:space="preserve">WNBA</t>
  </si>
  <si>
    <t xml:space="preserve">NBA</t>
  </si>
  <si>
    <t xml:space="preserve">Key Difference</t>
  </si>
  <si>
    <t xml:space="preserve">Governing vote</t>
  </si>
  <si>
    <t xml:space="preserve">Joint NBA + WNBA Board of Governors (NBA owns ~42% of WNBA)</t>
  </si>
  <si>
    <t xml:space="preserve">NBA Board of Governors alone; 23 of 30 owners must approve</t>
  </si>
  <si>
    <t xml:space="preserve">WNBA expansion is co-governed by the NBA, not fully independent</t>
  </si>
  <si>
    <t xml:space="preserve">Recent expansion fees</t>
  </si>
  <si>
    <t xml:space="preserve">$50M (2025) -&gt; $115-125M (2026) -&gt; $250M (2028-30) - roughly 5x in under 2 years</t>
  </si>
  <si>
    <t xml:space="preserve">Expected $7-10 billion per team for Seattle/Las Vegas (2026 bidding round)</t>
  </si>
  <si>
    <t xml:space="preserve">NBA fees are ~30-40x larger in absolute terms, reflecting league revenue scale, but WNBA fees are growing far faster percentage-wise</t>
  </si>
  <si>
    <t xml:space="preserve">Arena bar</t>
  </si>
  <si>
    <t xml:space="preserve">Originally accepted 7,000-seat arenas; now league wants 10,000+ seats given attendance growth</t>
  </si>
  <si>
    <t xml:space="preserve">Requires a top-tier, NBA-caliber arena (17,000-20,000+ seats) already or under construction</t>
  </si>
  <si>
    <t xml:space="preserve">WNBA is more flexible on venue size and often shares an NBA arena</t>
  </si>
  <si>
    <t xml:space="preserve">Ownership structure</t>
  </si>
  <si>
    <t xml:space="preserve">Individual owners, investor groups, or the NBA team's ownership in the same market</t>
  </si>
  <si>
    <t xml:space="preserve">Strict rules: controlling owner needs &gt;=15% stake; private equity capped at 20% per team / 30% combined</t>
  </si>
  <si>
    <t xml:space="preserve">NBA has more codified ownership-structure rules given far larger transaction sizes</t>
  </si>
  <si>
    <t xml:space="preserve">Draft mechanism</t>
  </si>
  <si>
    <t xml:space="preserve">Expansion draft: existing teams protect a set number of players (recently 6); new team(s) alternate picks</t>
  </si>
  <si>
    <t xml:space="preserve">Expansion draft: teams historically protect up to 8 players</t>
  </si>
  <si>
    <t xml:space="preserve">Similar mechanism; NBA typically lets incumbents protect more players</t>
  </si>
  <si>
    <t xml:space="preserve">College draft treatment</t>
  </si>
  <si>
    <t xml:space="preserve">New team picks early but usually not with the #1 overall pick</t>
  </si>
  <si>
    <t xml:space="preserve">New team picks early in the draft, historically not #1 overall</t>
  </si>
  <si>
    <t xml:space="preserve">Nearly identical philosophy: competitive boost without a full head start</t>
  </si>
  <si>
    <t xml:space="preserve">Sister-team pattern</t>
  </si>
  <si>
    <t xml:space="preserve">Many WNBA teams share ownership/arena with an NBA team in the same city (Valkyries/Warriors, Fever/Pacers, etc.)</t>
  </si>
  <si>
    <t xml:space="preserve">N/A - NBA teams are the anchor franchise</t>
  </si>
  <si>
    <t xml:space="preserve">WNBA expansion frequently piggybacks on existing NBA infrastructure to lower startup cost</t>
  </si>
  <si>
    <t xml:space="preserve">Selection criteria emphasis</t>
  </si>
  <si>
    <t xml:space="preserve">Market viability, ownership commitment, local fan/corporate/media support, arena &amp; practice facilities, community commitment to women's sports</t>
  </si>
  <si>
    <t xml:space="preserve">Market revenue potential (media, sponsorship, gate), arena readiness, ownership financial strength</t>
  </si>
  <si>
    <t xml:space="preserve">WNBA weighs 'commitment to women's sports' and community support explicitly; NBA criteria are almost purely financial/venue-based</t>
  </si>
  <si>
    <t xml:space="preserve">Typical lead time</t>
  </si>
  <si>
    <t xml:space="preserve">2-4 years between franchise award and first tip-off</t>
  </si>
  <si>
    <t xml:space="preserve">Historically 1-2 years; 2028-29 target set about 2-3 years after formal bidding opens</t>
  </si>
  <si>
    <t xml:space="preserve">Comparable lead times once a formal vote occurs</t>
  </si>
  <si>
    <t xml:space="preserve">WNBA Expansion Teams, 1997-2025 (Pre-2026 Wave)</t>
  </si>
  <si>
    <t xml:space="preserve">Year</t>
  </si>
  <si>
    <t xml:space="preserve">Team</t>
  </si>
  <si>
    <t xml:space="preserve">City</t>
  </si>
  <si>
    <t xml:space="preserve">Outcome to Date</t>
  </si>
  <si>
    <t xml:space="preserve">Expansion Fee</t>
  </si>
  <si>
    <t xml:space="preserve">Notes</t>
  </si>
  <si>
    <t xml:space="preserve">Original 8 franchises</t>
  </si>
  <si>
    <t xml:space="preserve">Multiple</t>
  </si>
  <si>
    <t xml:space="preserve">3 remain (Liberty, Sparks, Mercury) as of 2026</t>
  </si>
  <si>
    <t xml:space="preserve">N/A - league founding</t>
  </si>
  <si>
    <t xml:space="preserve">League launched with 8 teams; not an expansion class</t>
  </si>
  <si>
    <t xml:space="preserve">Detroit Shock / Washington Mystics</t>
  </si>
  <si>
    <t xml:space="preserve">Detroit, MI / Washington, DC</t>
  </si>
  <si>
    <t xml:space="preserve">Shock relocated twice, now Dallas Wings; Mystics still active</t>
  </si>
  <si>
    <t xml:space="preserve">N/A (early expansion, pre-modern fee structure)</t>
  </si>
  <si>
    <t xml:space="preserve">First expansion draft in league history</t>
  </si>
  <si>
    <t xml:space="preserve">Minnesota Lynx / Orlando Miracle</t>
  </si>
  <si>
    <t xml:space="preserve">Minneapolis, MN / Orlando, FL</t>
  </si>
  <si>
    <t xml:space="preserve">Lynx still active; Miracle relocated to Connecticut Sun (2003), then Houston (2027)</t>
  </si>
  <si>
    <t xml:space="preserve">N/A</t>
  </si>
  <si>
    <t xml:space="preserve">Indiana Fever / Miami Sol / Portland Fire (orig.) / Seattle Storm</t>
  </si>
  <si>
    <t xml:space="preserve">Indianapolis, IN / Miami, FL / Portland, OR / Seattle, WA</t>
  </si>
  <si>
    <t xml:space="preserve">Fever &amp; Storm still active; original Sol and Fire both folded (2002 and 2003)</t>
  </si>
  <si>
    <t xml:space="preserve">League peaked at 16 teams 2000-02; Portland's first franchise folded before the 2026 Fire relaunch</t>
  </si>
  <si>
    <t xml:space="preserve">Chicago Sky</t>
  </si>
  <si>
    <t xml:space="preserve">Chicago, IL</t>
  </si>
  <si>
    <t xml:space="preserve">Still active</t>
  </si>
  <si>
    <t xml:space="preserve">Atlanta Dream</t>
  </si>
  <si>
    <t xml:space="preserve">Atlanta, GA</t>
  </si>
  <si>
    <t xml:space="preserve">Golden State Valkyries</t>
  </si>
  <si>
    <t xml:space="preserve">San Francisco Bay Area, CA</t>
  </si>
  <si>
    <t xml:space="preserve">Active, debuted 2025; league's most valuable franchise (~$1B) within one season</t>
  </si>
  <si>
    <t xml:space="preserve">$50 million</t>
  </si>
  <si>
    <t xml:space="preserve">Owned by Warriors ownership group; first expansion team since 2008</t>
  </si>
  <si>
    <t xml:space="preserve">Currently Secured Expansion / Relocation Markets (2025-2030)</t>
  </si>
  <si>
    <t xml:space="preserve">Debut Year</t>
  </si>
  <si>
    <t xml:space="preserve">Ownership</t>
  </si>
  <si>
    <t xml:space="preserve">Arena</t>
  </si>
  <si>
    <t xml:space="preserve">Joe Lacob, Peter Guber, Warriors ownership</t>
  </si>
  <si>
    <t xml:space="preserve">Chase Center</t>
  </si>
  <si>
    <t xml:space="preserve">13th franchise; became league's most valuable within a year</t>
  </si>
  <si>
    <t xml:space="preserve">Toronto Tempo</t>
  </si>
  <si>
    <t xml:space="preserve">Toronto, ON (Canada)</t>
  </si>
  <si>
    <t xml:space="preserve">Kilmer Sports Ventures (Larry Tanenbaum)</t>
  </si>
  <si>
    <t xml:space="preserve">$115 million</t>
  </si>
  <si>
    <t xml:space="preserve">Coca-Cola Coliseum (primary) / Scotiabank Arena / Bell Centre / Rogers Arena</t>
  </si>
  <si>
    <t xml:space="preserve">First WNBA team outside the U.S.; plays home games across 4 Canadian venues in year 1</t>
  </si>
  <si>
    <t xml:space="preserve">Portland Fire</t>
  </si>
  <si>
    <t xml:space="preserve">Portland, OR</t>
  </si>
  <si>
    <t xml:space="preserve">Bhathal family (RAJ Sports; also NWSL's Portland Thorns)</t>
  </si>
  <si>
    <t xml:space="preserve">$125 million</t>
  </si>
  <si>
    <t xml:space="preserve">Moda Center (TBD)</t>
  </si>
  <si>
    <t xml:space="preserve">Revives the Fire name from the folded 2000-02 franchise</t>
  </si>
  <si>
    <t xml:space="preserve">Houston (relocated from Connecticut Sun)</t>
  </si>
  <si>
    <t xml:space="preserve">Houston, TX</t>
  </si>
  <si>
    <t xml:space="preserve">Fertitta family (Houston Rockets ownership)</t>
  </si>
  <si>
    <t xml:space="preserve">$300 million (purchase of Sun)</t>
  </si>
  <si>
    <t xml:space="preserve">Toyota Center (TBD)</t>
  </si>
  <si>
    <t xml:space="preserve">Not a new expansion team - the Connecticut Sun are relocating; revives Houston, former home of the Comets</t>
  </si>
  <si>
    <t xml:space="preserve">Cleveland (name pending, trademarked 'Rockers')</t>
  </si>
  <si>
    <t xml:space="preserve">Cleveland, OH</t>
  </si>
  <si>
    <t xml:space="preserve">Dan Gilbert (Cavaliers ownership)</t>
  </si>
  <si>
    <t xml:space="preserve">$250 million</t>
  </si>
  <si>
    <t xml:space="preserve">Rocket Arena (shared with Cavaliers)</t>
  </si>
  <si>
    <t xml:space="preserve">Revives the market that hosted the Cleveland Rockers, 1997-2003</t>
  </si>
  <si>
    <t xml:space="preserve">Detroit (name pending, trademarked 'Shock')</t>
  </si>
  <si>
    <t xml:space="preserve">Detroit, MI</t>
  </si>
  <si>
    <t xml:space="preserve">Tom Gores (Pistons ownership)</t>
  </si>
  <si>
    <t xml:space="preserve">Little Caesars Arena (shared with Pistons)</t>
  </si>
  <si>
    <t xml:space="preserve">Revives the market that hosted the Detroit Shock, 1998-2009</t>
  </si>
  <si>
    <t xml:space="preserve">Philadelphia (name pending)</t>
  </si>
  <si>
    <t xml:space="preserve">Philadelphia, PA</t>
  </si>
  <si>
    <t xml:space="preserve">Josh Harris, David Blitzer, David Adelman, Brian Roberts (76ers/HBSE + Comcast)</t>
  </si>
  <si>
    <t xml:space="preserve">New South Philadelphia arena (shared with 76ers)</t>
  </si>
  <si>
    <t xml:space="preserve">Philadelphia's first-ever WNBA franchise</t>
  </si>
  <si>
    <t xml:space="preserve">Candidate Cities for Future WNBA Expansion</t>
  </si>
  <si>
    <t xml:space="preserve">Rows 1-9: cities that formally bid in the Jan. 2025 window but were not awarded a team; per the WNBA, these markets retain priority for the next round of expansion over cities that did not bid (e.g. Boston). Row 10 (Louisville) and Row 11 (Mexico City) did not file formal bids but are frequently discussed as future markets - Louisville via local advocacy, Mexico City as a speculative international expansion market.</t>
  </si>
  <si>
    <t xml:space="preserve">Metro Population (approx.)</t>
  </si>
  <si>
    <t xml:space="preserve">NBA Team in Market</t>
  </si>
  <si>
    <t xml:space="preserve">Prior WNBA History</t>
  </si>
  <si>
    <t xml:space="preserve">Ownership Backing</t>
  </si>
  <si>
    <t xml:space="preserve">Proposed/Likely Arena</t>
  </si>
  <si>
    <t xml:space="preserve">Arena Capacity (approx.)</t>
  </si>
  <si>
    <t xml:space="preserve">New Facility Needed?</t>
  </si>
  <si>
    <t xml:space="preserve">Signature Tourist Draws</t>
  </si>
  <si>
    <t xml:space="preserve">Food &amp; Dining Scene</t>
  </si>
  <si>
    <t xml:space="preserve">Women's Sports Fan Base Signal</t>
  </si>
  <si>
    <t xml:space="preserve">City Interest / Public Support</t>
  </si>
  <si>
    <t xml:space="preserve">Charlotte, NC</t>
  </si>
  <si>
    <t xml:space="preserve">Yes - Hornets</t>
  </si>
  <si>
    <t xml:space="preserve">Yes - Charlotte Sting (1997-2006)</t>
  </si>
  <si>
    <t xml:space="preserve">Hornets Sports &amp; Entertainment (NBA-backed)</t>
  </si>
  <si>
    <t xml:space="preserve">Spectrum Center</t>
  </si>
  <si>
    <t xml:space="preserve">No - existing NBA arena</t>
  </si>
  <si>
    <t xml:space="preserve">NASCAR Hall of Fame, US National Whitewater Center, Uptown entertainment district</t>
  </si>
  <si>
    <t xml:space="preserve">Strong Southern food/BBQ scene, fast-growing dining city</t>
  </si>
  <si>
    <t xml:space="preserve">Existing Sting alumni fan base; NBA-owner backing seen as credibility boost</t>
  </si>
  <si>
    <t xml:space="preserve">High - NBA-backed bid, seen as a top contender for the next award</t>
  </si>
  <si>
    <t xml:space="preserve">One of only two rejected bids (with Houston) backed by an NBA owner</t>
  </si>
  <si>
    <t xml:space="preserve">Denver, CO</t>
  </si>
  <si>
    <t xml:space="preserve">Yes - Nuggets</t>
  </si>
  <si>
    <t xml:space="preserve">No prior team</t>
  </si>
  <si>
    <t xml:space="preserve">Local investors (not Nuggets ownership at time of bid)</t>
  </si>
  <si>
    <t xml:space="preserve">New multi-purpose arena proposed by ownership group</t>
  </si>
  <si>
    <t xml:space="preserve">Yes - new build proposed</t>
  </si>
  <si>
    <t xml:space="preserve">Rocky Mountain access, Red Rocks, outdoor/adventure tourism, craft beer scene</t>
  </si>
  <si>
    <t xml:space="preserve">Nationally known craft beer/food scene</t>
  </si>
  <si>
    <t xml:space="preserve">Growing women's college &amp; pro sports market (Colorado has strong Title IX/college sports culture)</t>
  </si>
  <si>
    <t xml:space="preserve">Moderate-high; ownership publicly committed to new venue</t>
  </si>
  <si>
    <t xml:space="preserve">Bid was independent of Nuggets ownership, unlike most winning bids</t>
  </si>
  <si>
    <t xml:space="preserve">Austin, TX</t>
  </si>
  <si>
    <t xml:space="preserve">No NBA team</t>
  </si>
  <si>
    <t xml:space="preserve">Group including investors close to Kevin Durant</t>
  </si>
  <si>
    <t xml:space="preserve">Moody Center (UT Austin)</t>
  </si>
  <si>
    <t xml:space="preserve">No - existing arena (concert capacity 16,233)</t>
  </si>
  <si>
    <t xml:space="preserve">SXSW, Live Music Capital branding, Barton Springs, state capitol</t>
  </si>
  <si>
    <t xml:space="preserve">Nationally renowned food-truck and live-music/dining culture</t>
  </si>
  <si>
    <t xml:space="preserve">Large, young, fast-growing population with strong college sports culture (UT)</t>
  </si>
  <si>
    <t xml:space="preserve">Considered highly competitive; group has stated it remains committed to a future bid</t>
  </si>
  <si>
    <t xml:space="preserve">Biggest handicap cited: lack of an NBA team/ownership in-market</t>
  </si>
  <si>
    <t xml:space="preserve">Nashville, TN</t>
  </si>
  <si>
    <t xml:space="preserve">Bill Haslam (Nashville Predators owner), Candace Parker, Peyton Manning</t>
  </si>
  <si>
    <t xml:space="preserve">Bridgestone Arena / proposed venue</t>
  </si>
  <si>
    <t xml:space="preserve">Possible - depends on final venue plan</t>
  </si>
  <si>
    <t xml:space="preserve">Music Row, Grand Ole Opry, honky-tonk district, tourism-driven economy</t>
  </si>
  <si>
    <t xml:space="preserve">Famous hot chicken and live-music-venue dining scene</t>
  </si>
  <si>
    <t xml:space="preserve">Proposed team name 'Summitt' after coach Pat Summitt signaled strong women's basketball tie-in</t>
  </si>
  <si>
    <t xml:space="preserve">High-profile bid backed by star power (Manning, Parker); group says it remains committed</t>
  </si>
  <si>
    <t xml:space="preserve">Strong star-power backing did not overcome lack of NBA ownership tie-in</t>
  </si>
  <si>
    <t xml:space="preserve">Kansas City, MO</t>
  </si>
  <si>
    <t xml:space="preserve">Group including Patrick Mahomes</t>
  </si>
  <si>
    <t xml:space="preserve">T-Mobile Center</t>
  </si>
  <si>
    <t xml:space="preserve">No - existing arena</t>
  </si>
  <si>
    <t xml:space="preserve">National WWI Museum, BBQ culture, Union Station, Chiefs/Royals fandom</t>
  </si>
  <si>
    <t xml:space="preserve">Nationally known BBQ scene</t>
  </si>
  <si>
    <t xml:space="preserve">Explicitly framed by ownership group as 'no-brainer' given WNBA's recent success</t>
  </si>
  <si>
    <t xml:space="preserve">High local enthusiasm; Mahomes' profile raises visibility</t>
  </si>
  <si>
    <t xml:space="preserve">Lacks an NBA team in-market, a recurring theme among rejected bids</t>
  </si>
  <si>
    <t xml:space="preserve">St. Louis, MO</t>
  </si>
  <si>
    <t xml:space="preserve">Group including Jayson Tatum (Boston Celtics star, St. Louis native)</t>
  </si>
  <si>
    <t xml:space="preserve">Enterprise Center</t>
  </si>
  <si>
    <t xml:space="preserve">Gateway Arch, City Museum, Cardinals/Blues fandom</t>
  </si>
  <si>
    <t xml:space="preserve">Strong Midwestern dining and BBQ scene</t>
  </si>
  <si>
    <t xml:space="preserve">Hometown-star-driven bid (Tatum) intended to build buzz</t>
  </si>
  <si>
    <t xml:space="preserve">Moderate; no NBA team in-market is a structural disadvantage</t>
  </si>
  <si>
    <t xml:space="preserve">Tatum's hometown ties provided narrative but not NBA ownership backing</t>
  </si>
  <si>
    <t xml:space="preserve">Miami, FL</t>
  </si>
  <si>
    <t xml:space="preserve">Yes - Heat</t>
  </si>
  <si>
    <t xml:space="preserve">Yes - Miami Sol (2000-02, folded)</t>
  </si>
  <si>
    <t xml:space="preserve">Independent group (not Heat ownership at time of bid)</t>
  </si>
  <si>
    <t xml:space="preserve">Kaseya Center (Heat arena) or FTX-successor venue</t>
  </si>
  <si>
    <t xml:space="preserve">South Beach, Art Basel, cruise-port tourism, year-round tourism economy</t>
  </si>
  <si>
    <t xml:space="preserve">Internationally known dining/nightlife scene</t>
  </si>
  <si>
    <t xml:space="preserve">Large Latin American fan base for women's sports, but no incumbent WNBA fan base since Sol folded in 2002</t>
  </si>
  <si>
    <t xml:space="preserve">Moderate; large market but bid lacked Heat ownership support</t>
  </si>
  <si>
    <t xml:space="preserve">League noted Heat ownership was not involved despite Miami having an NBA team</t>
  </si>
  <si>
    <t xml:space="preserve">Jacksonville, FL</t>
  </si>
  <si>
    <t xml:space="preserve">Not widely publicized at bid stage</t>
  </si>
  <si>
    <t xml:space="preserve">VyStar Veterans Memorial Arena / proposed venue</t>
  </si>
  <si>
    <t xml:space="preserve">Possible</t>
  </si>
  <si>
    <t xml:space="preserve">Beaches, riverfront, NFL Jaguars fandom</t>
  </si>
  <si>
    <t xml:space="preserve">Growing Southern food scene</t>
  </si>
  <si>
    <t xml:space="preserve">Smaller media market than other bidders</t>
  </si>
  <si>
    <t xml:space="preserve">Lower profile bid relative to others</t>
  </si>
  <si>
    <t xml:space="preserve">Least-publicized of the 9 bids; considered a longer-shot market</t>
  </si>
  <si>
    <t xml:space="preserve">Milwaukee, WI</t>
  </si>
  <si>
    <t xml:space="preserve">Yes - Bucks</t>
  </si>
  <si>
    <t xml:space="preserve">Fiserv Forum</t>
  </si>
  <si>
    <t xml:space="preserve">Harley-Davidson Museum, lakefront, brewing heritage</t>
  </si>
  <si>
    <t xml:space="preserve">Strong beer/brewery and Midwestern food culture</t>
  </si>
  <si>
    <t xml:space="preserve">Smaller market but has an NBA arena and ownership infrastructure in place</t>
  </si>
  <si>
    <t xml:space="preserve">Smallest metro population among the 9 bidders</t>
  </si>
  <si>
    <t xml:space="preserve">Louisville, KY</t>
  </si>
  <si>
    <t xml:space="preserve">No ownership group secured; Mayor Craig Greenberg has publicly lobbied the league</t>
  </si>
  <si>
    <t xml:space="preserve">KFC Yum! Center</t>
  </si>
  <si>
    <t xml:space="preserve">No - existing NBA-ready arena</t>
  </si>
  <si>
    <t xml:space="preserve">Kentucky Derby, Louisville Slugger Museum, bourbon trail</t>
  </si>
  <si>
    <t xml:space="preserve">Nationally known bourbon and Southern dining scene</t>
  </si>
  <si>
    <t xml:space="preserve">Very strong - Louisville women's college basketball has ranked top-5 nationally in attendance for over a decade; also home to Racing Louisville (NWSL)</t>
  </si>
  <si>
    <t xml:space="preserve">High civic enthusiasm and mayoral advocacy, but no formal bid filed in the Jan. 2025 window</t>
  </si>
  <si>
    <t xml:space="preserve">Did not submit a formal bid in the most recent round; smallest market and lowest per-capita income among cities discussed, but arena and women's-basketball fan base are genuine strengths</t>
  </si>
  <si>
    <t xml:space="preserve">Mexico City, Mexico</t>
  </si>
  <si>
    <t xml:space="preserve">No NBA team (G League Capitanes)</t>
  </si>
  <si>
    <t xml:space="preserve">No ownership group publicly identified; not part of the Jan. 2025 bidding round</t>
  </si>
  <si>
    <t xml:space="preserve">Arena CDMX (Arena Ciudad de Mexico)</t>
  </si>
  <si>
    <t xml:space="preserve">No - existing world-class arena</t>
  </si>
  <si>
    <t xml:space="preserve">Zocalo/historic center, Teotihuacan, Chapultepec Park, globally renowned culinary scene</t>
  </si>
  <si>
    <t xml:space="preserve">Widely regarded as one of the world's top culinary capitals, from street tacos to Michelin-starred dining</t>
  </si>
  <si>
    <t xml:space="preserve">Growing women's sports interest (Liga MX Femenil attendance rising), but no dedicated WNBA or prior top-level women's pro basketball fan base</t>
  </si>
  <si>
    <t xml:space="preserve">Speculative only - frequently named alongside Vancouver as a future international expansion market, but no formal bid has been reported</t>
  </si>
  <si>
    <t xml:space="preserve">Metro area is larger than any current NBA or WNBA market; arena and NBA-game hosting infrastructure already exist (regular-season NBA games since 1992, G League team since 2020), but cross-border travel, visa, and broadcast-timezone logistics are real hurdles the Toronto Tempo (2026) is the first WNBA test case for</t>
  </si>
  <si>
    <t xml:space="preserve">Average / Count -&gt;</t>
  </si>
  <si>
    <t xml:space="preserve">Candidate City Population vs. Arena Capacity</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</si>
</sst>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6"/>
      <color rgb="FF1D3557"/>
      <name val="Arial"/>
      <family val="0"/>
      <charset val="1"/>
    </font>
    <font>
      <i val="true"/>
      <sz val="10"/>
      <color rgb="FF666666"/>
      <name val="Arial"/>
      <family val="0"/>
      <charset val="1"/>
    </font>
    <font>
      <sz val="10"/>
      <name val="Arial"/>
      <family val="0"/>
      <charset val="1"/>
    </font>
    <font>
      <b val="true"/>
      <sz val="10"/>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D3557"/>
        <bgColor rgb="FF33333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666666"/>
      <rgbColor rgb="FF969696"/>
      <rgbColor rgb="FF1D35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Candidate Cities: Metro Population vs. Arena Capacity</a:t>
            </a:r>
          </a:p>
        </c:rich>
      </c:tx>
      <c:overlay val="0"/>
      <c:spPr>
        <a:noFill/>
        <a:ln w="0">
          <a:noFill/>
        </a:ln>
      </c:spPr>
    </c:title>
    <c:autoTitleDeleted val="0"/>
    <c:plotArea>
      <c:barChart>
        <c:barDir val="col"/>
        <c:grouping val="clustered"/>
        <c:varyColors val="0"/>
        <c:ser>
          <c:idx val="0"/>
          <c:order val="0"/>
          <c:tx>
            <c:strRef>
              <c:f>'Chart Data'!B3</c:f>
              <c:strCache>
                <c:ptCount val="1"/>
                <c:pt idx="0">
                  <c:v>Metro Population (approx.)</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Data'!$A$4:$A$14</c:f>
              <c:strCache>
                <c:ptCount val="11"/>
                <c:pt idx="0">
                  <c:v>Charlotte, NC</c:v>
                </c:pt>
                <c:pt idx="1">
                  <c:v>Denver, CO</c:v>
                </c:pt>
                <c:pt idx="2">
                  <c:v>Austin, TX</c:v>
                </c:pt>
                <c:pt idx="3">
                  <c:v>Nashville, TN</c:v>
                </c:pt>
                <c:pt idx="4">
                  <c:v>Kansas City, MO</c:v>
                </c:pt>
                <c:pt idx="5">
                  <c:v>St. Louis, MO</c:v>
                </c:pt>
                <c:pt idx="6">
                  <c:v>Miami, FL</c:v>
                </c:pt>
                <c:pt idx="7">
                  <c:v>Jacksonville, FL</c:v>
                </c:pt>
                <c:pt idx="8">
                  <c:v>Milwaukee, WI</c:v>
                </c:pt>
                <c:pt idx="9">
                  <c:v>Louisville, KY</c:v>
                </c:pt>
                <c:pt idx="10">
                  <c:v>Mexico City, Mexico</c:v>
                </c:pt>
              </c:strCache>
            </c:strRef>
          </c:cat>
          <c:val>
            <c:numRef>
              <c:f>'Chart Data'!$B$4:$B$14</c:f>
              <c:numCache>
                <c:formatCode>General</c:formatCode>
                <c:ptCount val="11"/>
                <c:pt idx="0">
                  <c:v>2800000</c:v>
                </c:pt>
                <c:pt idx="1">
                  <c:v>3000000</c:v>
                </c:pt>
                <c:pt idx="2">
                  <c:v>2500000</c:v>
                </c:pt>
                <c:pt idx="3">
                  <c:v>2100000</c:v>
                </c:pt>
                <c:pt idx="4">
                  <c:v>2200000</c:v>
                </c:pt>
                <c:pt idx="5">
                  <c:v>2800000</c:v>
                </c:pt>
                <c:pt idx="6">
                  <c:v>6300000</c:v>
                </c:pt>
                <c:pt idx="7">
                  <c:v>1700000</c:v>
                </c:pt>
                <c:pt idx="8">
                  <c:v>1600000</c:v>
                </c:pt>
                <c:pt idx="9">
                  <c:v>1400000</c:v>
                </c:pt>
                <c:pt idx="10">
                  <c:v>22000000</c:v>
                </c:pt>
              </c:numCache>
            </c:numRef>
          </c:val>
        </c:ser>
        <c:ser>
          <c:idx val="1"/>
          <c:order val="1"/>
          <c:tx>
            <c:strRef>
              <c:f>'Chart Data'!C3</c:f>
              <c:strCache>
                <c:ptCount val="1"/>
                <c:pt idx="0">
                  <c:v>Arena Capacity (approx.)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Data'!$A$4:$A$14</c:f>
              <c:strCache>
                <c:ptCount val="11"/>
                <c:pt idx="0">
                  <c:v>Charlotte, NC</c:v>
                </c:pt>
                <c:pt idx="1">
                  <c:v>Denver, CO</c:v>
                </c:pt>
                <c:pt idx="2">
                  <c:v>Austin, TX</c:v>
                </c:pt>
                <c:pt idx="3">
                  <c:v>Nashville, TN</c:v>
                </c:pt>
                <c:pt idx="4">
                  <c:v>Kansas City, MO</c:v>
                </c:pt>
                <c:pt idx="5">
                  <c:v>St. Louis, MO</c:v>
                </c:pt>
                <c:pt idx="6">
                  <c:v>Miami, FL</c:v>
                </c:pt>
                <c:pt idx="7">
                  <c:v>Jacksonville, FL</c:v>
                </c:pt>
                <c:pt idx="8">
                  <c:v>Milwaukee, WI</c:v>
                </c:pt>
                <c:pt idx="9">
                  <c:v>Louisville, KY</c:v>
                </c:pt>
                <c:pt idx="10">
                  <c:v>Mexico City, Mexico</c:v>
                </c:pt>
              </c:strCache>
            </c:strRef>
          </c:cat>
          <c:val>
            <c:numRef>
              <c:f>'Chart Data'!$C$4:$C$14</c:f>
              <c:numCache>
                <c:formatCode>General</c:formatCode>
                <c:ptCount val="11"/>
                <c:pt idx="0">
                  <c:v>19000</c:v>
                </c:pt>
                <c:pt idx="1">
                  <c:v>10000</c:v>
                </c:pt>
                <c:pt idx="2">
                  <c:v>11000</c:v>
                </c:pt>
                <c:pt idx="3">
                  <c:v>10000</c:v>
                </c:pt>
                <c:pt idx="4">
                  <c:v>18500</c:v>
                </c:pt>
                <c:pt idx="5">
                  <c:v>19000</c:v>
                </c:pt>
                <c:pt idx="6">
                  <c:v>19600</c:v>
                </c:pt>
                <c:pt idx="7">
                  <c:v>15000</c:v>
                </c:pt>
                <c:pt idx="8">
                  <c:v>17500</c:v>
                </c:pt>
                <c:pt idx="9">
                  <c:v>22000</c:v>
                </c:pt>
                <c:pt idx="10">
                  <c:v>22300</c:v>
                </c:pt>
              </c:numCache>
            </c:numRef>
          </c:val>
        </c:ser>
        <c:gapWidth val="150"/>
        <c:overlap val="0"/>
        <c:axId val="46897174"/>
        <c:axId val="36882809"/>
      </c:barChart>
      <c:catAx>
        <c:axId val="468971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City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882809"/>
        <c:crosses val="autoZero"/>
        <c:auto val="1"/>
        <c:lblAlgn val="ctr"/>
        <c:lblOffset val="100"/>
        <c:noMultiLvlLbl val="0"/>
      </c:catAx>
      <c:valAx>
        <c:axId val="368828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971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130680</xdr:rowOff>
    </xdr:from>
    <xdr:to>
      <xdr:col>18</xdr:col>
      <xdr:colOff>78480</xdr:colOff>
      <xdr:row>19</xdr:row>
      <xdr:rowOff>150840</xdr:rowOff>
    </xdr:to>
    <xdr:graphicFrame>
      <xdr:nvGraphicFramePr>
        <xdr:cNvPr id="0" name="Chart 1"/>
        <xdr:cNvGraphicFramePr/>
      </xdr:nvGraphicFramePr>
      <xdr:xfrm>
        <a:off x="5122440" y="38088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5" t="s">
        <v>2</v>
      </c>
      <c r="B5" s="4" t="s">
        <v>3</v>
      </c>
    </row>
    <row r="6" customFormat="false" ht="15" hidden="false" customHeight="false" outlineLevel="0" collapsed="false">
      <c r="A6" s="5" t="s">
        <v>4</v>
      </c>
      <c r="B6" s="4" t="s">
        <v>5</v>
      </c>
    </row>
    <row r="7" customFormat="false" ht="15" hidden="false" customHeight="false" outlineLevel="0" collapsed="false">
      <c r="A7" s="5" t="s">
        <v>6</v>
      </c>
      <c r="B7" s="4" t="s">
        <v>7</v>
      </c>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c r="B12" s="4"/>
    </row>
    <row r="13" customFormat="false" ht="60" hidden="false" customHeight="true" outlineLevel="0" collapsed="false">
      <c r="A13" s="5" t="s">
        <v>16</v>
      </c>
      <c r="B13" s="4" t="s">
        <v>17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70"/>
    <col collapsed="false" customWidth="true" hidden="false" outlineLevel="0" max="4" min="4" style="0" width="30"/>
  </cols>
  <sheetData>
    <row r="1" customFormat="false" ht="19.7" hidden="false" customHeight="false" outlineLevel="0" collapsed="false">
      <c r="A1" s="1" t="s">
        <v>18</v>
      </c>
      <c r="B1" s="1"/>
      <c r="C1" s="1"/>
      <c r="D1" s="1"/>
    </row>
    <row r="3" customFormat="false" ht="15" hidden="false" customHeight="false" outlineLevel="0" collapsed="false">
      <c r="A3" s="6" t="s">
        <v>19</v>
      </c>
      <c r="B3" s="6" t="s">
        <v>20</v>
      </c>
      <c r="C3" s="6" t="s">
        <v>21</v>
      </c>
      <c r="D3" s="6" t="s">
        <v>22</v>
      </c>
    </row>
    <row r="4" customFormat="false" ht="54.75" hidden="false" customHeight="true" outlineLevel="0" collapsed="false">
      <c r="A4" s="7" t="n">
        <v>1</v>
      </c>
      <c r="B4" s="7" t="s">
        <v>23</v>
      </c>
      <c r="C4" s="7" t="s">
        <v>24</v>
      </c>
      <c r="D4" s="7" t="s">
        <v>25</v>
      </c>
    </row>
    <row r="5" customFormat="false" ht="54.75" hidden="false" customHeight="true" outlineLevel="0" collapsed="false">
      <c r="A5" s="7" t="n">
        <v>2</v>
      </c>
      <c r="B5" s="7" t="s">
        <v>26</v>
      </c>
      <c r="C5" s="7" t="s">
        <v>27</v>
      </c>
      <c r="D5" s="7" t="s">
        <v>28</v>
      </c>
    </row>
    <row r="6" customFormat="false" ht="54.75" hidden="false" customHeight="true" outlineLevel="0" collapsed="false">
      <c r="A6" s="7" t="n">
        <v>3</v>
      </c>
      <c r="B6" s="7" t="s">
        <v>29</v>
      </c>
      <c r="C6" s="7" t="s">
        <v>30</v>
      </c>
      <c r="D6" s="7" t="s">
        <v>31</v>
      </c>
    </row>
    <row r="7" customFormat="false" ht="54.75" hidden="false" customHeight="true" outlineLevel="0" collapsed="false">
      <c r="A7" s="7" t="n">
        <v>4</v>
      </c>
      <c r="B7" s="7" t="s">
        <v>32</v>
      </c>
      <c r="C7" s="7" t="s">
        <v>33</v>
      </c>
      <c r="D7" s="7" t="s">
        <v>34</v>
      </c>
    </row>
    <row r="8" customFormat="false" ht="54.75" hidden="false" customHeight="true" outlineLevel="0" collapsed="false">
      <c r="A8" s="7" t="n">
        <v>5</v>
      </c>
      <c r="B8" s="7" t="s">
        <v>35</v>
      </c>
      <c r="C8" s="7" t="s">
        <v>36</v>
      </c>
      <c r="D8" s="7" t="s">
        <v>37</v>
      </c>
    </row>
    <row r="9" customFormat="false" ht="54.75" hidden="false" customHeight="true" outlineLevel="0" collapsed="false">
      <c r="A9" s="7" t="n">
        <v>6</v>
      </c>
      <c r="B9" s="7" t="s">
        <v>38</v>
      </c>
      <c r="C9" s="7" t="s">
        <v>39</v>
      </c>
      <c r="D9" s="7" t="s">
        <v>40</v>
      </c>
    </row>
    <row r="10" customFormat="false" ht="54.75" hidden="false" customHeight="true" outlineLevel="0" collapsed="false">
      <c r="A10" s="7" t="n">
        <v>7</v>
      </c>
      <c r="B10" s="7" t="s">
        <v>41</v>
      </c>
      <c r="C10" s="7" t="s">
        <v>42</v>
      </c>
      <c r="D10" s="7" t="s">
        <v>43</v>
      </c>
    </row>
    <row r="11" customFormat="false" ht="54.75" hidden="false" customHeight="true" outlineLevel="0" collapsed="false">
      <c r="A11" s="7" t="n">
        <v>8</v>
      </c>
      <c r="B11" s="7" t="s">
        <v>44</v>
      </c>
      <c r="C11" s="7" t="s">
        <v>45</v>
      </c>
      <c r="D11" s="7" t="s">
        <v>46</v>
      </c>
    </row>
    <row r="12" customFormat="false" ht="54.75" hidden="false" customHeight="true" outlineLevel="0" collapsed="false">
      <c r="A12" s="7" t="n">
        <v>9</v>
      </c>
      <c r="B12" s="7" t="s">
        <v>47</v>
      </c>
      <c r="C12" s="7" t="s">
        <v>48</v>
      </c>
      <c r="D12" s="7" t="s">
        <v>49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45"/>
  </cols>
  <sheetData>
    <row r="1" customFormat="false" ht="19.7" hidden="false" customHeight="false" outlineLevel="0" collapsed="false">
      <c r="A1" s="1" t="s">
        <v>50</v>
      </c>
      <c r="B1" s="1"/>
      <c r="C1" s="1"/>
      <c r="D1" s="1"/>
    </row>
    <row r="3" customFormat="false" ht="15" hidden="false" customHeight="false" outlineLevel="0" collapsed="false">
      <c r="A3" s="6" t="s">
        <v>51</v>
      </c>
      <c r="B3" s="6" t="s">
        <v>52</v>
      </c>
      <c r="C3" s="6" t="s">
        <v>53</v>
      </c>
      <c r="D3" s="6" t="s">
        <v>54</v>
      </c>
    </row>
    <row r="4" customFormat="false" ht="69.75" hidden="false" customHeight="true" outlineLevel="0" collapsed="false">
      <c r="A4" s="7" t="s">
        <v>55</v>
      </c>
      <c r="B4" s="7" t="s">
        <v>56</v>
      </c>
      <c r="C4" s="7" t="s">
        <v>57</v>
      </c>
      <c r="D4" s="7" t="s">
        <v>58</v>
      </c>
    </row>
    <row r="5" customFormat="false" ht="69.75" hidden="false" customHeight="true" outlineLevel="0" collapsed="false">
      <c r="A5" s="7" t="s">
        <v>59</v>
      </c>
      <c r="B5" s="7" t="s">
        <v>60</v>
      </c>
      <c r="C5" s="7" t="s">
        <v>61</v>
      </c>
      <c r="D5" s="7" t="s">
        <v>62</v>
      </c>
    </row>
    <row r="6" customFormat="false" ht="69.75" hidden="false" customHeight="true" outlineLevel="0" collapsed="false">
      <c r="A6" s="7" t="s">
        <v>63</v>
      </c>
      <c r="B6" s="7" t="s">
        <v>64</v>
      </c>
      <c r="C6" s="7" t="s">
        <v>65</v>
      </c>
      <c r="D6" s="7" t="s">
        <v>66</v>
      </c>
    </row>
    <row r="7" customFormat="false" ht="69.75" hidden="false" customHeight="true" outlineLevel="0" collapsed="false">
      <c r="A7" s="7" t="s">
        <v>67</v>
      </c>
      <c r="B7" s="7" t="s">
        <v>68</v>
      </c>
      <c r="C7" s="7" t="s">
        <v>69</v>
      </c>
      <c r="D7" s="7" t="s">
        <v>70</v>
      </c>
    </row>
    <row r="8" customFormat="false" ht="69.75" hidden="false" customHeight="true" outlineLevel="0" collapsed="false">
      <c r="A8" s="7" t="s">
        <v>71</v>
      </c>
      <c r="B8" s="7" t="s">
        <v>72</v>
      </c>
      <c r="C8" s="7" t="s">
        <v>73</v>
      </c>
      <c r="D8" s="7" t="s">
        <v>74</v>
      </c>
    </row>
    <row r="9" customFormat="false" ht="69.75" hidden="false" customHeight="true" outlineLevel="0" collapsed="false">
      <c r="A9" s="7" t="s">
        <v>75</v>
      </c>
      <c r="B9" s="7" t="s">
        <v>76</v>
      </c>
      <c r="C9" s="7" t="s">
        <v>77</v>
      </c>
      <c r="D9" s="7" t="s">
        <v>78</v>
      </c>
    </row>
    <row r="10" customFormat="false" ht="69.75" hidden="false" customHeight="true" outlineLevel="0" collapsed="false">
      <c r="A10" s="7" t="s">
        <v>79</v>
      </c>
      <c r="B10" s="7" t="s">
        <v>80</v>
      </c>
      <c r="C10" s="7" t="s">
        <v>81</v>
      </c>
      <c r="D10" s="7" t="s">
        <v>82</v>
      </c>
    </row>
    <row r="11" customFormat="false" ht="69.75" hidden="false" customHeight="true" outlineLevel="0" collapsed="false">
      <c r="A11" s="7" t="s">
        <v>83</v>
      </c>
      <c r="B11" s="7" t="s">
        <v>84</v>
      </c>
      <c r="C11" s="7" t="s">
        <v>85</v>
      </c>
      <c r="D11" s="7" t="s">
        <v>86</v>
      </c>
    </row>
    <row r="12" customFormat="false" ht="69.75" hidden="false" customHeight="true" outlineLevel="0" collapsed="false">
      <c r="A12" s="7" t="s">
        <v>87</v>
      </c>
      <c r="B12" s="7" t="s">
        <v>88</v>
      </c>
      <c r="C12" s="7" t="s">
        <v>89</v>
      </c>
      <c r="D12" s="7" t="s">
        <v>90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6"/>
    <col collapsed="false" customWidth="true" hidden="false" outlineLevel="0" max="4" min="4" style="0" width="45"/>
    <col collapsed="false" customWidth="true" hidden="false" outlineLevel="0" max="5" min="5" style="0" width="22"/>
    <col collapsed="false" customWidth="true" hidden="false" outlineLevel="0" max="6" min="6" style="0" width="45"/>
  </cols>
  <sheetData>
    <row r="1" customFormat="false" ht="19.7" hidden="false" customHeight="false" outlineLevel="0" collapsed="false">
      <c r="A1" s="1" t="s">
        <v>91</v>
      </c>
      <c r="B1" s="1"/>
      <c r="C1" s="1"/>
      <c r="D1" s="1"/>
      <c r="E1" s="1"/>
      <c r="F1" s="1"/>
    </row>
    <row r="3" customFormat="false" ht="15" hidden="false" customHeight="false" outlineLevel="0" collapsed="false">
      <c r="A3" s="6" t="s">
        <v>92</v>
      </c>
      <c r="B3" s="6" t="s">
        <v>93</v>
      </c>
      <c r="C3" s="6" t="s">
        <v>94</v>
      </c>
      <c r="D3" s="6" t="s">
        <v>95</v>
      </c>
      <c r="E3" s="6" t="s">
        <v>96</v>
      </c>
      <c r="F3" s="6" t="s">
        <v>97</v>
      </c>
    </row>
    <row r="4" customFormat="false" ht="54.75" hidden="false" customHeight="true" outlineLevel="0" collapsed="false">
      <c r="A4" s="7" t="n">
        <v>1997</v>
      </c>
      <c r="B4" s="7" t="s">
        <v>98</v>
      </c>
      <c r="C4" s="7" t="s">
        <v>99</v>
      </c>
      <c r="D4" s="7" t="s">
        <v>100</v>
      </c>
      <c r="E4" s="7" t="s">
        <v>101</v>
      </c>
      <c r="F4" s="7" t="s">
        <v>102</v>
      </c>
    </row>
    <row r="5" customFormat="false" ht="54.75" hidden="false" customHeight="true" outlineLevel="0" collapsed="false">
      <c r="A5" s="7" t="n">
        <v>1998</v>
      </c>
      <c r="B5" s="7" t="s">
        <v>103</v>
      </c>
      <c r="C5" s="7" t="s">
        <v>104</v>
      </c>
      <c r="D5" s="7" t="s">
        <v>105</v>
      </c>
      <c r="E5" s="7" t="s">
        <v>106</v>
      </c>
      <c r="F5" s="7" t="s">
        <v>107</v>
      </c>
    </row>
    <row r="6" customFormat="false" ht="54.75" hidden="false" customHeight="true" outlineLevel="0" collapsed="false">
      <c r="A6" s="7" t="n">
        <v>1999</v>
      </c>
      <c r="B6" s="7" t="s">
        <v>108</v>
      </c>
      <c r="C6" s="7" t="s">
        <v>109</v>
      </c>
      <c r="D6" s="7" t="s">
        <v>110</v>
      </c>
      <c r="E6" s="7" t="s">
        <v>111</v>
      </c>
      <c r="F6" s="7"/>
    </row>
    <row r="7" customFormat="false" ht="54.75" hidden="false" customHeight="true" outlineLevel="0" collapsed="false">
      <c r="A7" s="7" t="n">
        <v>2000</v>
      </c>
      <c r="B7" s="7" t="s">
        <v>112</v>
      </c>
      <c r="C7" s="7" t="s">
        <v>113</v>
      </c>
      <c r="D7" s="7" t="s">
        <v>114</v>
      </c>
      <c r="E7" s="7" t="s">
        <v>111</v>
      </c>
      <c r="F7" s="7" t="s">
        <v>115</v>
      </c>
    </row>
    <row r="8" customFormat="false" ht="54.75" hidden="false" customHeight="true" outlineLevel="0" collapsed="false">
      <c r="A8" s="7" t="n">
        <v>2006</v>
      </c>
      <c r="B8" s="7" t="s">
        <v>116</v>
      </c>
      <c r="C8" s="7" t="s">
        <v>117</v>
      </c>
      <c r="D8" s="7" t="s">
        <v>118</v>
      </c>
      <c r="E8" s="7" t="s">
        <v>111</v>
      </c>
      <c r="F8" s="7"/>
    </row>
    <row r="9" customFormat="false" ht="54.75" hidden="false" customHeight="true" outlineLevel="0" collapsed="false">
      <c r="A9" s="7" t="n">
        <v>2008</v>
      </c>
      <c r="B9" s="7" t="s">
        <v>119</v>
      </c>
      <c r="C9" s="7" t="s">
        <v>120</v>
      </c>
      <c r="D9" s="7" t="s">
        <v>118</v>
      </c>
      <c r="E9" s="7" t="s">
        <v>111</v>
      </c>
      <c r="F9" s="7"/>
    </row>
    <row r="10" customFormat="false" ht="54.75" hidden="false" customHeight="true" outlineLevel="0" collapsed="false">
      <c r="A10" s="7" t="n">
        <v>2024</v>
      </c>
      <c r="B10" s="7" t="s">
        <v>121</v>
      </c>
      <c r="C10" s="7" t="s">
        <v>122</v>
      </c>
      <c r="D10" s="7" t="s">
        <v>123</v>
      </c>
      <c r="E10" s="7" t="s">
        <v>124</v>
      </c>
      <c r="F10" s="7" t="s">
        <v>125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2"/>
    <col collapsed="false" customWidth="true" hidden="false" outlineLevel="0" max="4" min="4" style="0" width="34"/>
    <col collapsed="false" customWidth="true" hidden="false" outlineLevel="0" max="5" min="5" style="0" width="22"/>
    <col collapsed="false" customWidth="true" hidden="false" outlineLevel="0" max="6" min="6" style="0" width="34"/>
    <col collapsed="false" customWidth="true" hidden="false" outlineLevel="0" max="7" min="7" style="0" width="45"/>
  </cols>
  <sheetData>
    <row r="1" customFormat="false" ht="19.7" hidden="false" customHeight="false" outlineLevel="0" collapsed="false">
      <c r="A1" s="1" t="s">
        <v>126</v>
      </c>
      <c r="B1" s="1"/>
      <c r="C1" s="1"/>
      <c r="D1" s="1"/>
      <c r="E1" s="1"/>
      <c r="F1" s="1"/>
      <c r="G1" s="1"/>
    </row>
    <row r="3" customFormat="false" ht="26.85" hidden="false" customHeight="false" outlineLevel="0" collapsed="false">
      <c r="A3" s="6" t="s">
        <v>127</v>
      </c>
      <c r="B3" s="6" t="s">
        <v>93</v>
      </c>
      <c r="C3" s="6" t="s">
        <v>94</v>
      </c>
      <c r="D3" s="6" t="s">
        <v>128</v>
      </c>
      <c r="E3" s="6" t="s">
        <v>96</v>
      </c>
      <c r="F3" s="6" t="s">
        <v>129</v>
      </c>
      <c r="G3" s="6" t="s">
        <v>97</v>
      </c>
    </row>
    <row r="4" customFormat="false" ht="60" hidden="false" customHeight="true" outlineLevel="0" collapsed="false">
      <c r="A4" s="7" t="n">
        <v>2025</v>
      </c>
      <c r="B4" s="7" t="s">
        <v>121</v>
      </c>
      <c r="C4" s="7" t="s">
        <v>122</v>
      </c>
      <c r="D4" s="7" t="s">
        <v>130</v>
      </c>
      <c r="E4" s="7" t="s">
        <v>124</v>
      </c>
      <c r="F4" s="7" t="s">
        <v>131</v>
      </c>
      <c r="G4" s="7" t="s">
        <v>132</v>
      </c>
    </row>
    <row r="5" customFormat="false" ht="60" hidden="false" customHeight="true" outlineLevel="0" collapsed="false">
      <c r="A5" s="7" t="n">
        <v>2026</v>
      </c>
      <c r="B5" s="7" t="s">
        <v>133</v>
      </c>
      <c r="C5" s="7" t="s">
        <v>134</v>
      </c>
      <c r="D5" s="7" t="s">
        <v>135</v>
      </c>
      <c r="E5" s="7" t="s">
        <v>136</v>
      </c>
      <c r="F5" s="7" t="s">
        <v>137</v>
      </c>
      <c r="G5" s="7" t="s">
        <v>138</v>
      </c>
    </row>
    <row r="6" customFormat="false" ht="60" hidden="false" customHeight="true" outlineLevel="0" collapsed="false">
      <c r="A6" s="7" t="n">
        <v>2026</v>
      </c>
      <c r="B6" s="7" t="s">
        <v>139</v>
      </c>
      <c r="C6" s="7" t="s">
        <v>140</v>
      </c>
      <c r="D6" s="7" t="s">
        <v>141</v>
      </c>
      <c r="E6" s="7" t="s">
        <v>142</v>
      </c>
      <c r="F6" s="7" t="s">
        <v>143</v>
      </c>
      <c r="G6" s="7" t="s">
        <v>144</v>
      </c>
    </row>
    <row r="7" customFormat="false" ht="60" hidden="false" customHeight="true" outlineLevel="0" collapsed="false">
      <c r="A7" s="7" t="n">
        <v>2027</v>
      </c>
      <c r="B7" s="7" t="s">
        <v>145</v>
      </c>
      <c r="C7" s="7" t="s">
        <v>146</v>
      </c>
      <c r="D7" s="7" t="s">
        <v>147</v>
      </c>
      <c r="E7" s="7" t="s">
        <v>148</v>
      </c>
      <c r="F7" s="7" t="s">
        <v>149</v>
      </c>
      <c r="G7" s="7" t="s">
        <v>150</v>
      </c>
    </row>
    <row r="8" customFormat="false" ht="60" hidden="false" customHeight="true" outlineLevel="0" collapsed="false">
      <c r="A8" s="7" t="n">
        <v>2028</v>
      </c>
      <c r="B8" s="7" t="s">
        <v>151</v>
      </c>
      <c r="C8" s="7" t="s">
        <v>152</v>
      </c>
      <c r="D8" s="7" t="s">
        <v>153</v>
      </c>
      <c r="E8" s="7" t="s">
        <v>154</v>
      </c>
      <c r="F8" s="7" t="s">
        <v>155</v>
      </c>
      <c r="G8" s="7" t="s">
        <v>156</v>
      </c>
    </row>
    <row r="9" customFormat="false" ht="60" hidden="false" customHeight="true" outlineLevel="0" collapsed="false">
      <c r="A9" s="7" t="n">
        <v>2029</v>
      </c>
      <c r="B9" s="7" t="s">
        <v>157</v>
      </c>
      <c r="C9" s="7" t="s">
        <v>158</v>
      </c>
      <c r="D9" s="7" t="s">
        <v>159</v>
      </c>
      <c r="E9" s="7" t="s">
        <v>154</v>
      </c>
      <c r="F9" s="7" t="s">
        <v>160</v>
      </c>
      <c r="G9" s="7" t="s">
        <v>161</v>
      </c>
    </row>
    <row r="10" customFormat="false" ht="60" hidden="false" customHeight="true" outlineLevel="0" collapsed="false">
      <c r="A10" s="7" t="n">
        <v>2030</v>
      </c>
      <c r="B10" s="7" t="s">
        <v>162</v>
      </c>
      <c r="C10" s="7" t="s">
        <v>163</v>
      </c>
      <c r="D10" s="7" t="s">
        <v>164</v>
      </c>
      <c r="E10" s="7" t="s">
        <v>154</v>
      </c>
      <c r="F10" s="7" t="s">
        <v>165</v>
      </c>
      <c r="G10" s="7" t="s">
        <v>166</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26"/>
    <col collapsed="false" customWidth="true" hidden="false" outlineLevel="0" max="5" min="5" style="0" width="30"/>
    <col collapsed="false" customWidth="true" hidden="false" outlineLevel="0" max="6" min="6" style="0" width="26"/>
    <col collapsed="false" customWidth="true" hidden="false" outlineLevel="0" max="7" min="7" style="0" width="16"/>
    <col collapsed="false" customWidth="true" hidden="false" outlineLevel="0" max="8" min="8" style="0" width="18"/>
    <col collapsed="false" customWidth="true" hidden="false" outlineLevel="0" max="9" min="9" style="0" width="34"/>
    <col collapsed="false" customWidth="true" hidden="false" outlineLevel="0" max="10" min="10" style="0" width="30"/>
    <col collapsed="false" customWidth="true" hidden="false" outlineLevel="0" max="11" min="11" style="0" width="34"/>
    <col collapsed="false" customWidth="true" hidden="false" outlineLevel="0" max="12" min="12" style="0" width="30"/>
    <col collapsed="false" customWidth="true" hidden="false" outlineLevel="0" max="13" min="13" style="0" width="40"/>
  </cols>
  <sheetData>
    <row r="1" customFormat="false" ht="19.7" hidden="false" customHeight="false" outlineLevel="0" collapsed="false">
      <c r="A1" s="1" t="s">
        <v>167</v>
      </c>
      <c r="B1" s="1"/>
      <c r="C1" s="1"/>
      <c r="D1" s="1"/>
      <c r="E1" s="1"/>
      <c r="F1" s="1"/>
      <c r="G1" s="1"/>
      <c r="H1" s="1"/>
      <c r="I1" s="1"/>
      <c r="J1" s="1"/>
      <c r="K1" s="1"/>
      <c r="L1" s="1"/>
      <c r="M1" s="1"/>
    </row>
    <row r="2" customFormat="false" ht="15" hidden="false" customHeight="false" outlineLevel="0" collapsed="false">
      <c r="A2" s="2" t="s">
        <v>168</v>
      </c>
      <c r="B2" s="2"/>
      <c r="C2" s="2"/>
      <c r="D2" s="2"/>
      <c r="E2" s="2"/>
      <c r="F2" s="2"/>
      <c r="G2" s="2"/>
      <c r="H2" s="2"/>
      <c r="I2" s="2"/>
      <c r="J2" s="2"/>
      <c r="K2" s="2"/>
      <c r="L2" s="2"/>
      <c r="M2" s="2"/>
    </row>
    <row r="4" customFormat="false" ht="26.85" hidden="false" customHeight="false" outlineLevel="0" collapsed="false">
      <c r="A4" s="6" t="s">
        <v>94</v>
      </c>
      <c r="B4" s="6" t="s">
        <v>169</v>
      </c>
      <c r="C4" s="6" t="s">
        <v>170</v>
      </c>
      <c r="D4" s="6" t="s">
        <v>171</v>
      </c>
      <c r="E4" s="6" t="s">
        <v>172</v>
      </c>
      <c r="F4" s="6" t="s">
        <v>173</v>
      </c>
      <c r="G4" s="6" t="s">
        <v>174</v>
      </c>
      <c r="H4" s="6" t="s">
        <v>175</v>
      </c>
      <c r="I4" s="6" t="s">
        <v>176</v>
      </c>
      <c r="J4" s="6" t="s">
        <v>177</v>
      </c>
      <c r="K4" s="6" t="s">
        <v>178</v>
      </c>
      <c r="L4" s="6" t="s">
        <v>179</v>
      </c>
      <c r="M4" s="6" t="s">
        <v>97</v>
      </c>
    </row>
    <row r="5" customFormat="false" ht="79.5" hidden="false" customHeight="true" outlineLevel="0" collapsed="false">
      <c r="A5" s="7" t="s">
        <v>180</v>
      </c>
      <c r="B5" s="7" t="n">
        <v>2800000</v>
      </c>
      <c r="C5" s="7" t="s">
        <v>181</v>
      </c>
      <c r="D5" s="7" t="s">
        <v>182</v>
      </c>
      <c r="E5" s="7" t="s">
        <v>183</v>
      </c>
      <c r="F5" s="7" t="s">
        <v>184</v>
      </c>
      <c r="G5" s="7" t="n">
        <v>19000</v>
      </c>
      <c r="H5" s="7" t="s">
        <v>185</v>
      </c>
      <c r="I5" s="7" t="s">
        <v>186</v>
      </c>
      <c r="J5" s="7" t="s">
        <v>187</v>
      </c>
      <c r="K5" s="7" t="s">
        <v>188</v>
      </c>
      <c r="L5" s="7" t="s">
        <v>189</v>
      </c>
      <c r="M5" s="7" t="s">
        <v>190</v>
      </c>
    </row>
    <row r="6" customFormat="false" ht="79.5" hidden="false" customHeight="true" outlineLevel="0" collapsed="false">
      <c r="A6" s="7" t="s">
        <v>191</v>
      </c>
      <c r="B6" s="7" t="n">
        <v>3000000</v>
      </c>
      <c r="C6" s="7" t="s">
        <v>192</v>
      </c>
      <c r="D6" s="7" t="s">
        <v>193</v>
      </c>
      <c r="E6" s="7" t="s">
        <v>194</v>
      </c>
      <c r="F6" s="7" t="s">
        <v>195</v>
      </c>
      <c r="G6" s="7" t="n">
        <v>10000</v>
      </c>
      <c r="H6" s="7" t="s">
        <v>196</v>
      </c>
      <c r="I6" s="7" t="s">
        <v>197</v>
      </c>
      <c r="J6" s="7" t="s">
        <v>198</v>
      </c>
      <c r="K6" s="7" t="s">
        <v>199</v>
      </c>
      <c r="L6" s="7" t="s">
        <v>200</v>
      </c>
      <c r="M6" s="7" t="s">
        <v>201</v>
      </c>
    </row>
    <row r="7" customFormat="false" ht="79.5" hidden="false" customHeight="true" outlineLevel="0" collapsed="false">
      <c r="A7" s="7" t="s">
        <v>202</v>
      </c>
      <c r="B7" s="7" t="n">
        <v>2500000</v>
      </c>
      <c r="C7" s="7" t="s">
        <v>203</v>
      </c>
      <c r="D7" s="7" t="s">
        <v>193</v>
      </c>
      <c r="E7" s="7" t="s">
        <v>204</v>
      </c>
      <c r="F7" s="7" t="s">
        <v>205</v>
      </c>
      <c r="G7" s="7" t="n">
        <v>11000</v>
      </c>
      <c r="H7" s="7" t="s">
        <v>206</v>
      </c>
      <c r="I7" s="7" t="s">
        <v>207</v>
      </c>
      <c r="J7" s="7" t="s">
        <v>208</v>
      </c>
      <c r="K7" s="7" t="s">
        <v>209</v>
      </c>
      <c r="L7" s="7" t="s">
        <v>210</v>
      </c>
      <c r="M7" s="7" t="s">
        <v>211</v>
      </c>
    </row>
    <row r="8" customFormat="false" ht="79.5" hidden="false" customHeight="true" outlineLevel="0" collapsed="false">
      <c r="A8" s="7" t="s">
        <v>212</v>
      </c>
      <c r="B8" s="7" t="n">
        <v>2100000</v>
      </c>
      <c r="C8" s="7" t="s">
        <v>203</v>
      </c>
      <c r="D8" s="7" t="s">
        <v>193</v>
      </c>
      <c r="E8" s="7" t="s">
        <v>213</v>
      </c>
      <c r="F8" s="7" t="s">
        <v>214</v>
      </c>
      <c r="G8" s="7" t="n">
        <v>10000</v>
      </c>
      <c r="H8" s="7" t="s">
        <v>215</v>
      </c>
      <c r="I8" s="7" t="s">
        <v>216</v>
      </c>
      <c r="J8" s="7" t="s">
        <v>217</v>
      </c>
      <c r="K8" s="7" t="s">
        <v>218</v>
      </c>
      <c r="L8" s="7" t="s">
        <v>219</v>
      </c>
      <c r="M8" s="7" t="s">
        <v>220</v>
      </c>
    </row>
    <row r="9" customFormat="false" ht="79.5" hidden="false" customHeight="true" outlineLevel="0" collapsed="false">
      <c r="A9" s="7" t="s">
        <v>221</v>
      </c>
      <c r="B9" s="7" t="n">
        <v>2200000</v>
      </c>
      <c r="C9" s="7" t="s">
        <v>203</v>
      </c>
      <c r="D9" s="7" t="s">
        <v>193</v>
      </c>
      <c r="E9" s="7" t="s">
        <v>222</v>
      </c>
      <c r="F9" s="7" t="s">
        <v>223</v>
      </c>
      <c r="G9" s="7" t="n">
        <v>18500</v>
      </c>
      <c r="H9" s="7" t="s">
        <v>224</v>
      </c>
      <c r="I9" s="7" t="s">
        <v>225</v>
      </c>
      <c r="J9" s="7" t="s">
        <v>226</v>
      </c>
      <c r="K9" s="7" t="s">
        <v>227</v>
      </c>
      <c r="L9" s="7" t="s">
        <v>228</v>
      </c>
      <c r="M9" s="7" t="s">
        <v>229</v>
      </c>
    </row>
    <row r="10" customFormat="false" ht="79.5" hidden="false" customHeight="true" outlineLevel="0" collapsed="false">
      <c r="A10" s="7" t="s">
        <v>230</v>
      </c>
      <c r="B10" s="7" t="n">
        <v>2800000</v>
      </c>
      <c r="C10" s="7" t="s">
        <v>203</v>
      </c>
      <c r="D10" s="7" t="s">
        <v>193</v>
      </c>
      <c r="E10" s="7" t="s">
        <v>231</v>
      </c>
      <c r="F10" s="7" t="s">
        <v>232</v>
      </c>
      <c r="G10" s="7" t="n">
        <v>19000</v>
      </c>
      <c r="H10" s="7" t="s">
        <v>224</v>
      </c>
      <c r="I10" s="7" t="s">
        <v>233</v>
      </c>
      <c r="J10" s="7" t="s">
        <v>234</v>
      </c>
      <c r="K10" s="7" t="s">
        <v>235</v>
      </c>
      <c r="L10" s="7" t="s">
        <v>236</v>
      </c>
      <c r="M10" s="7" t="s">
        <v>237</v>
      </c>
    </row>
    <row r="11" customFormat="false" ht="79.5" hidden="false" customHeight="true" outlineLevel="0" collapsed="false">
      <c r="A11" s="7" t="s">
        <v>238</v>
      </c>
      <c r="B11" s="7" t="n">
        <v>6300000</v>
      </c>
      <c r="C11" s="7" t="s">
        <v>239</v>
      </c>
      <c r="D11" s="7" t="s">
        <v>240</v>
      </c>
      <c r="E11" s="7" t="s">
        <v>241</v>
      </c>
      <c r="F11" s="7" t="s">
        <v>242</v>
      </c>
      <c r="G11" s="7" t="n">
        <v>19600</v>
      </c>
      <c r="H11" s="7" t="s">
        <v>185</v>
      </c>
      <c r="I11" s="7" t="s">
        <v>243</v>
      </c>
      <c r="J11" s="7" t="s">
        <v>244</v>
      </c>
      <c r="K11" s="7" t="s">
        <v>245</v>
      </c>
      <c r="L11" s="7" t="s">
        <v>246</v>
      </c>
      <c r="M11" s="7" t="s">
        <v>247</v>
      </c>
    </row>
    <row r="12" customFormat="false" ht="79.5" hidden="false" customHeight="true" outlineLevel="0" collapsed="false">
      <c r="A12" s="7" t="s">
        <v>248</v>
      </c>
      <c r="B12" s="7" t="n">
        <v>1700000</v>
      </c>
      <c r="C12" s="7" t="s">
        <v>203</v>
      </c>
      <c r="D12" s="7" t="s">
        <v>193</v>
      </c>
      <c r="E12" s="7" t="s">
        <v>249</v>
      </c>
      <c r="F12" s="7" t="s">
        <v>250</v>
      </c>
      <c r="G12" s="7" t="n">
        <v>15000</v>
      </c>
      <c r="H12" s="7" t="s">
        <v>251</v>
      </c>
      <c r="I12" s="7" t="s">
        <v>252</v>
      </c>
      <c r="J12" s="7" t="s">
        <v>253</v>
      </c>
      <c r="K12" s="7" t="s">
        <v>254</v>
      </c>
      <c r="L12" s="7" t="s">
        <v>255</v>
      </c>
      <c r="M12" s="7" t="s">
        <v>256</v>
      </c>
    </row>
    <row r="13" customFormat="false" ht="79.5" hidden="false" customHeight="true" outlineLevel="0" collapsed="false">
      <c r="A13" s="7" t="s">
        <v>257</v>
      </c>
      <c r="B13" s="7" t="n">
        <v>1600000</v>
      </c>
      <c r="C13" s="7" t="s">
        <v>258</v>
      </c>
      <c r="D13" s="7" t="s">
        <v>193</v>
      </c>
      <c r="E13" s="7" t="s">
        <v>249</v>
      </c>
      <c r="F13" s="7" t="s">
        <v>259</v>
      </c>
      <c r="G13" s="7" t="n">
        <v>17500</v>
      </c>
      <c r="H13" s="7" t="s">
        <v>185</v>
      </c>
      <c r="I13" s="7" t="s">
        <v>260</v>
      </c>
      <c r="J13" s="7" t="s">
        <v>261</v>
      </c>
      <c r="K13" s="7" t="s">
        <v>262</v>
      </c>
      <c r="L13" s="7" t="s">
        <v>255</v>
      </c>
      <c r="M13" s="7" t="s">
        <v>263</v>
      </c>
    </row>
    <row r="14" customFormat="false" ht="79.5" hidden="false" customHeight="true" outlineLevel="0" collapsed="false">
      <c r="A14" s="7" t="s">
        <v>264</v>
      </c>
      <c r="B14" s="7" t="n">
        <v>1400000</v>
      </c>
      <c r="C14" s="7" t="s">
        <v>203</v>
      </c>
      <c r="D14" s="7" t="s">
        <v>193</v>
      </c>
      <c r="E14" s="7" t="s">
        <v>265</v>
      </c>
      <c r="F14" s="7" t="s">
        <v>266</v>
      </c>
      <c r="G14" s="7" t="n">
        <v>22000</v>
      </c>
      <c r="H14" s="7" t="s">
        <v>267</v>
      </c>
      <c r="I14" s="7" t="s">
        <v>268</v>
      </c>
      <c r="J14" s="7" t="s">
        <v>269</v>
      </c>
      <c r="K14" s="7" t="s">
        <v>270</v>
      </c>
      <c r="L14" s="7" t="s">
        <v>271</v>
      </c>
      <c r="M14" s="7" t="s">
        <v>272</v>
      </c>
    </row>
    <row r="15" customFormat="false" ht="79.5" hidden="false" customHeight="true" outlineLevel="0" collapsed="false">
      <c r="A15" s="7" t="s">
        <v>273</v>
      </c>
      <c r="B15" s="7" t="n">
        <v>22000000</v>
      </c>
      <c r="C15" s="7" t="s">
        <v>274</v>
      </c>
      <c r="D15" s="7" t="s">
        <v>193</v>
      </c>
      <c r="E15" s="7" t="s">
        <v>275</v>
      </c>
      <c r="F15" s="7" t="s">
        <v>276</v>
      </c>
      <c r="G15" s="7" t="n">
        <v>22300</v>
      </c>
      <c r="H15" s="7" t="s">
        <v>277</v>
      </c>
      <c r="I15" s="7" t="s">
        <v>278</v>
      </c>
      <c r="J15" s="7" t="s">
        <v>279</v>
      </c>
      <c r="K15" s="7" t="s">
        <v>280</v>
      </c>
      <c r="L15" s="7" t="s">
        <v>281</v>
      </c>
      <c r="M15" s="7" t="s">
        <v>282</v>
      </c>
    </row>
    <row r="17" customFormat="false" ht="15" hidden="false" customHeight="false" outlineLevel="0" collapsed="false">
      <c r="A17" s="8" t="s">
        <v>283</v>
      </c>
      <c r="B17" s="9" t="n">
        <f aca="false">AVERAGE(B5:B15)</f>
        <v>4400000</v>
      </c>
      <c r="G17" s="9" t="n">
        <f aca="false">AVERAGE(G5:G15)</f>
        <v>16718.1818181818</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2"/>
  </cols>
  <sheetData>
    <row r="1" customFormat="false" ht="19.7" hidden="false" customHeight="false" outlineLevel="0" collapsed="false">
      <c r="A1" s="1" t="s">
        <v>284</v>
      </c>
      <c r="B1" s="1"/>
      <c r="C1" s="1"/>
    </row>
    <row r="3" customFormat="false" ht="26.85" hidden="false" customHeight="false" outlineLevel="0" collapsed="false">
      <c r="A3" s="6" t="s">
        <v>94</v>
      </c>
      <c r="B3" s="6" t="s">
        <v>169</v>
      </c>
      <c r="C3" s="6" t="s">
        <v>174</v>
      </c>
    </row>
    <row r="4" customFormat="false" ht="15" hidden="false" customHeight="false" outlineLevel="0" collapsed="false">
      <c r="A4" s="7" t="s">
        <v>180</v>
      </c>
      <c r="B4" s="7" t="n">
        <v>2800000</v>
      </c>
      <c r="C4" s="7" t="n">
        <v>19000</v>
      </c>
    </row>
    <row r="5" customFormat="false" ht="15" hidden="false" customHeight="false" outlineLevel="0" collapsed="false">
      <c r="A5" s="7" t="s">
        <v>191</v>
      </c>
      <c r="B5" s="7" t="n">
        <v>3000000</v>
      </c>
      <c r="C5" s="7" t="n">
        <v>10000</v>
      </c>
    </row>
    <row r="6" customFormat="false" ht="15" hidden="false" customHeight="false" outlineLevel="0" collapsed="false">
      <c r="A6" s="7" t="s">
        <v>202</v>
      </c>
      <c r="B6" s="7" t="n">
        <v>2500000</v>
      </c>
      <c r="C6" s="7" t="n">
        <v>11000</v>
      </c>
    </row>
    <row r="7" customFormat="false" ht="15" hidden="false" customHeight="false" outlineLevel="0" collapsed="false">
      <c r="A7" s="7" t="s">
        <v>212</v>
      </c>
      <c r="B7" s="7" t="n">
        <v>2100000</v>
      </c>
      <c r="C7" s="7" t="n">
        <v>10000</v>
      </c>
    </row>
    <row r="8" customFormat="false" ht="15" hidden="false" customHeight="false" outlineLevel="0" collapsed="false">
      <c r="A8" s="7" t="s">
        <v>221</v>
      </c>
      <c r="B8" s="7" t="n">
        <v>2200000</v>
      </c>
      <c r="C8" s="7" t="n">
        <v>18500</v>
      </c>
    </row>
    <row r="9" customFormat="false" ht="15" hidden="false" customHeight="false" outlineLevel="0" collapsed="false">
      <c r="A9" s="7" t="s">
        <v>230</v>
      </c>
      <c r="B9" s="7" t="n">
        <v>2800000</v>
      </c>
      <c r="C9" s="7" t="n">
        <v>19000</v>
      </c>
    </row>
    <row r="10" customFormat="false" ht="15" hidden="false" customHeight="false" outlineLevel="0" collapsed="false">
      <c r="A10" s="7" t="s">
        <v>238</v>
      </c>
      <c r="B10" s="7" t="n">
        <v>6300000</v>
      </c>
      <c r="C10" s="7" t="n">
        <v>19600</v>
      </c>
    </row>
    <row r="11" customFormat="false" ht="15" hidden="false" customHeight="false" outlineLevel="0" collapsed="false">
      <c r="A11" s="7" t="s">
        <v>248</v>
      </c>
      <c r="B11" s="7" t="n">
        <v>1700000</v>
      </c>
      <c r="C11" s="7" t="n">
        <v>15000</v>
      </c>
    </row>
    <row r="12" customFormat="false" ht="15" hidden="false" customHeight="false" outlineLevel="0" collapsed="false">
      <c r="A12" s="7" t="s">
        <v>257</v>
      </c>
      <c r="B12" s="7" t="n">
        <v>1600000</v>
      </c>
      <c r="C12" s="7" t="n">
        <v>17500</v>
      </c>
    </row>
    <row r="13" customFormat="false" ht="15" hidden="false" customHeight="false" outlineLevel="0" collapsed="false">
      <c r="A13" s="7" t="s">
        <v>264</v>
      </c>
      <c r="B13" s="7" t="n">
        <v>1400000</v>
      </c>
      <c r="C13" s="7" t="n">
        <v>22000</v>
      </c>
    </row>
    <row r="14" customFormat="false" ht="15" hidden="false" customHeight="false" outlineLevel="0" collapsed="false">
      <c r="A14" s="7" t="s">
        <v>273</v>
      </c>
      <c r="B14" s="7" t="n">
        <v>22000000</v>
      </c>
      <c r="C14" s="7" t="n">
        <v>22300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2026-07-12T03:56:15Z</dcterms:created>
  <dc:creator>openpyxl</dc:creator>
  <dc:description/>
  <dc:language>en-US</dc:language>
  <cp:lastModifiedBy/>
  <dcterms:modified xsi:type="dcterms:W3CDTF">2026-07-12T03:56:18Z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